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1d25c33ae9209fa2/Dators/jakabs_gulbs/HTML5Application1/public_html/"/>
    </mc:Choice>
  </mc:AlternateContent>
  <xr:revisionPtr revIDLastSave="1" documentId="8_{9B587F09-D391-45D5-BED1-08F1D9944F47}" xr6:coauthVersionLast="47" xr6:coauthVersionMax="47" xr10:uidLastSave="{9C65AD62-EEFD-446F-B9C8-8134472E225A}"/>
  <bookViews>
    <workbookView xWindow="2115" yWindow="2115" windowWidth="16560" windowHeight="9533" xr2:uid="{E4B3F6C6-DC53-4207-AE48-00A7CA53D434}"/>
  </bookViews>
  <sheets>
    <sheet name="Reni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4" i="1" l="1"/>
  <c r="S4" i="1"/>
  <c r="T2" i="1"/>
  <c r="S2" i="1"/>
  <c r="R2" i="1"/>
  <c r="R4" i="1" s="1"/>
  <c r="Q2" i="1"/>
  <c r="Q4" i="1" s="1"/>
  <c r="U4" i="1" s="1"/>
  <c r="M2" i="1"/>
  <c r="M4" i="1" s="1"/>
  <c r="L2" i="1"/>
  <c r="L4" i="1" s="1"/>
  <c r="K2" i="1"/>
  <c r="K4" i="1" s="1"/>
  <c r="J2" i="1"/>
  <c r="J4" i="1" s="1"/>
  <c r="N4" i="1" s="1"/>
  <c r="F2" i="1"/>
  <c r="F4" i="1" s="1"/>
  <c r="E2" i="1"/>
  <c r="E4" i="1" s="1"/>
  <c r="D2" i="1"/>
  <c r="D4" i="1" s="1"/>
  <c r="C2" i="1"/>
  <c r="C4" i="1" s="1"/>
  <c r="J5" i="1" l="1"/>
  <c r="J6" i="1" s="1"/>
  <c r="M5" i="1"/>
  <c r="M6" i="1" s="1"/>
  <c r="L5" i="1"/>
  <c r="L6" i="1" s="1"/>
  <c r="K5" i="1"/>
  <c r="K6" i="1" s="1"/>
  <c r="Q5" i="1"/>
  <c r="Q6" i="1" s="1"/>
  <c r="S5" i="1"/>
  <c r="S6" i="1" s="1"/>
  <c r="R5" i="1"/>
  <c r="R6" i="1" s="1"/>
  <c r="T5" i="1"/>
  <c r="T6" i="1" s="1"/>
  <c r="G4" i="1"/>
  <c r="D5" i="1" l="1"/>
  <c r="D6" i="1" s="1"/>
  <c r="C5" i="1"/>
  <c r="C6" i="1" s="1"/>
  <c r="F5" i="1"/>
  <c r="F6" i="1" s="1"/>
  <c r="E5" i="1"/>
  <c r="E6" i="1" s="1"/>
  <c r="Q7" i="1"/>
  <c r="Q8" i="1" s="1"/>
  <c r="Q9" i="1" s="1"/>
  <c r="J7" i="1"/>
  <c r="J8" i="1" s="1"/>
  <c r="J9" i="1" s="1"/>
  <c r="C7" i="1" l="1"/>
  <c r="C8" i="1" s="1"/>
  <c r="C9" i="1" s="1"/>
</calcChain>
</file>

<file path=xl/sharedStrings.xml><?xml version="1.0" encoding="utf-8"?>
<sst xmlns="http://schemas.openxmlformats.org/spreadsheetml/2006/main" count="34" uniqueCount="14">
  <si>
    <t>2. leņķis</t>
  </si>
  <si>
    <t>merijums</t>
  </si>
  <si>
    <t>vid</t>
  </si>
  <si>
    <t>3. leņķis</t>
  </si>
  <si>
    <t>1. leņķis</t>
  </si>
  <si>
    <t>t</t>
  </si>
  <si>
    <t>L</t>
  </si>
  <si>
    <t>a</t>
  </si>
  <si>
    <t>Da</t>
  </si>
  <si>
    <t>da^2</t>
  </si>
  <si>
    <t>S</t>
  </si>
  <si>
    <t>abs kluda</t>
  </si>
  <si>
    <t>rel kluda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</si>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</sst>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C39BFD-2D24-40A8-A419-368400D0B1D1}">
  <dimension ref="A1:U12"/>
  <sheetViews>
    <sheetView tabSelected="1" zoomScale="83" workbookViewId="0">
      <selection activeCell="J12" sqref="J12"/>
    </sheetView>
  </sheetViews>
  <sheetFormatPr defaultRowHeight="14.25" x14ac:dyDescent="0.45"/>
  <sheetData>
    <row r="1" spans="1:21" x14ac:dyDescent="0.45">
      <c r="A1" t="s">
        <v>0</v>
      </c>
      <c r="B1" t="s">
        <v>1</v>
      </c>
      <c r="C1">
        <v>1</v>
      </c>
      <c r="D1">
        <v>2</v>
      </c>
      <c r="E1">
        <v>3</v>
      </c>
      <c r="F1">
        <v>4</v>
      </c>
      <c r="G1" t="s">
        <v>2</v>
      </c>
      <c r="H1" t="s">
        <v>3</v>
      </c>
      <c r="I1" t="s">
        <v>1</v>
      </c>
      <c r="J1">
        <v>1</v>
      </c>
      <c r="K1">
        <v>2</v>
      </c>
      <c r="L1">
        <v>3</v>
      </c>
      <c r="M1">
        <v>4</v>
      </c>
      <c r="N1" t="s">
        <v>2</v>
      </c>
      <c r="O1" t="s">
        <v>4</v>
      </c>
      <c r="P1" t="s">
        <v>1</v>
      </c>
      <c r="Q1">
        <v>1</v>
      </c>
      <c r="R1">
        <v>2</v>
      </c>
      <c r="S1">
        <v>3</v>
      </c>
      <c r="T1">
        <v>4</v>
      </c>
      <c r="U1" t="s">
        <v>2</v>
      </c>
    </row>
    <row r="2" spans="1:21" x14ac:dyDescent="0.45">
      <c r="A2">
        <v>20</v>
      </c>
      <c r="B2" t="s">
        <v>5</v>
      </c>
      <c r="C2">
        <f>4.58-2.95</f>
        <v>1.63</v>
      </c>
      <c r="D2">
        <f>6.03-4.4</f>
        <v>1.63</v>
      </c>
      <c r="E2">
        <f>5.23-3.59</f>
        <v>1.6400000000000006</v>
      </c>
      <c r="F2">
        <f>7.86-6.21</f>
        <v>1.6500000000000004</v>
      </c>
      <c r="H2">
        <v>15</v>
      </c>
      <c r="I2" t="s">
        <v>5</v>
      </c>
      <c r="J2">
        <f>7.7-5.55</f>
        <v>2.1500000000000004</v>
      </c>
      <c r="K2">
        <f>5.82-3.67</f>
        <v>2.1500000000000004</v>
      </c>
      <c r="L2">
        <f>6.42-4.33</f>
        <v>2.09</v>
      </c>
      <c r="M2">
        <f>7.05-4.96</f>
        <v>2.09</v>
      </c>
      <c r="O2">
        <v>25</v>
      </c>
      <c r="P2" t="s">
        <v>5</v>
      </c>
      <c r="Q2">
        <f>4.96-3.54</f>
        <v>1.42</v>
      </c>
      <c r="R2">
        <f>6.15-4.71</f>
        <v>1.4400000000000004</v>
      </c>
      <c r="S2">
        <f>5.57-4.13</f>
        <v>1.4400000000000004</v>
      </c>
      <c r="T2">
        <f>5.68-4.25</f>
        <v>1.4299999999999997</v>
      </c>
    </row>
    <row r="3" spans="1:21" x14ac:dyDescent="0.45">
      <c r="B3" t="s">
        <v>6</v>
      </c>
      <c r="C3">
        <v>2</v>
      </c>
      <c r="D3">
        <v>2</v>
      </c>
      <c r="E3">
        <v>2</v>
      </c>
      <c r="F3">
        <v>2</v>
      </c>
      <c r="I3" t="s">
        <v>6</v>
      </c>
      <c r="J3">
        <v>2</v>
      </c>
      <c r="K3">
        <v>2</v>
      </c>
      <c r="L3">
        <v>2</v>
      </c>
      <c r="M3">
        <v>2</v>
      </c>
      <c r="P3" t="s">
        <v>6</v>
      </c>
      <c r="Q3">
        <v>2</v>
      </c>
      <c r="R3">
        <v>2</v>
      </c>
      <c r="S3">
        <v>2</v>
      </c>
      <c r="T3">
        <v>2</v>
      </c>
    </row>
    <row r="4" spans="1:21" x14ac:dyDescent="0.45">
      <c r="B4" t="s">
        <v>7</v>
      </c>
      <c r="C4">
        <f>2*C3/C2^2</f>
        <v>1.505513944822914</v>
      </c>
      <c r="D4">
        <f t="shared" ref="D4:F4" si="0">2*D3/D2^2</f>
        <v>1.505513944822914</v>
      </c>
      <c r="E4">
        <f t="shared" si="0"/>
        <v>1.4872099940511589</v>
      </c>
      <c r="F4">
        <f t="shared" si="0"/>
        <v>1.469237832874196</v>
      </c>
      <c r="G4">
        <f>AVERAGE(C4:F4)</f>
        <v>1.4918689291427958</v>
      </c>
      <c r="I4" t="s">
        <v>7</v>
      </c>
      <c r="J4">
        <f>2*J3/J2^2</f>
        <v>0.86533261222282287</v>
      </c>
      <c r="K4">
        <f t="shared" ref="K4:M4" si="1">2*K3/K2^2</f>
        <v>0.86533261222282287</v>
      </c>
      <c r="L4">
        <f t="shared" si="1"/>
        <v>0.91572995123738021</v>
      </c>
      <c r="M4">
        <f t="shared" si="1"/>
        <v>0.91572995123738021</v>
      </c>
      <c r="N4">
        <f>AVERAGE(J4:M4)</f>
        <v>0.89053128173010154</v>
      </c>
      <c r="P4" t="s">
        <v>7</v>
      </c>
      <c r="Q4">
        <f>2*Q3/Q2^2</f>
        <v>1.9837333862328903</v>
      </c>
      <c r="R4">
        <f t="shared" ref="R4:T4" si="2">2*R3/R2^2</f>
        <v>1.9290123456790111</v>
      </c>
      <c r="S4">
        <f t="shared" si="2"/>
        <v>1.9290123456790111</v>
      </c>
      <c r="T4">
        <f t="shared" si="2"/>
        <v>1.9560858721697889</v>
      </c>
      <c r="U4">
        <f>AVERAGE(Q4:T4)</f>
        <v>1.9494609874401754</v>
      </c>
    </row>
    <row r="5" spans="1:21" x14ac:dyDescent="0.45">
      <c r="B5" t="s">
        <v>8</v>
      </c>
      <c r="C5">
        <f>$G$4-C4</f>
        <v>-1.3645015680118222E-2</v>
      </c>
      <c r="D5">
        <f>$G$4-D4</f>
        <v>-1.3645015680118222E-2</v>
      </c>
      <c r="E5">
        <f>$G$4-E4</f>
        <v>4.6589350916368399E-3</v>
      </c>
      <c r="F5">
        <f>$G$4-F4</f>
        <v>2.2631096268599826E-2</v>
      </c>
      <c r="I5" t="s">
        <v>8</v>
      </c>
      <c r="J5">
        <f>$N$4-J4</f>
        <v>2.519866950727867E-2</v>
      </c>
      <c r="K5">
        <f t="shared" ref="K5:M5" si="3">$N$4-K4</f>
        <v>2.519866950727867E-2</v>
      </c>
      <c r="L5">
        <f t="shared" si="3"/>
        <v>-2.519866950727867E-2</v>
      </c>
      <c r="M5">
        <f t="shared" si="3"/>
        <v>-2.519866950727867E-2</v>
      </c>
      <c r="P5" t="s">
        <v>8</v>
      </c>
      <c r="Q5">
        <f>$U$4-Q4</f>
        <v>-3.4272398792714931E-2</v>
      </c>
      <c r="R5">
        <f t="shared" ref="R5:T5" si="4">$U$4-R4</f>
        <v>2.0448641761164232E-2</v>
      </c>
      <c r="S5">
        <f t="shared" si="4"/>
        <v>2.0448641761164232E-2</v>
      </c>
      <c r="T5">
        <f t="shared" si="4"/>
        <v>-6.6248847296135338E-3</v>
      </c>
    </row>
    <row r="6" spans="1:21" x14ac:dyDescent="0.45">
      <c r="B6" t="s">
        <v>9</v>
      </c>
      <c r="C6">
        <f>C5^2</f>
        <v>1.8618645291067215E-4</v>
      </c>
      <c r="D6">
        <f t="shared" ref="D6:F6" si="5">D5^2</f>
        <v>1.8618645291067215E-4</v>
      </c>
      <c r="E6">
        <f t="shared" si="5"/>
        <v>2.1705676188085169E-5</v>
      </c>
      <c r="F6">
        <f t="shared" si="5"/>
        <v>5.1216651831863301E-4</v>
      </c>
      <c r="I6" t="s">
        <v>9</v>
      </c>
      <c r="J6">
        <f>J5^2</f>
        <v>6.3497294493705583E-4</v>
      </c>
      <c r="K6">
        <f t="shared" ref="K6:M6" si="6">K5^2</f>
        <v>6.3497294493705583E-4</v>
      </c>
      <c r="L6">
        <f t="shared" si="6"/>
        <v>6.3497294493705583E-4</v>
      </c>
      <c r="M6">
        <f t="shared" si="6"/>
        <v>6.3497294493705583E-4</v>
      </c>
      <c r="P6" t="s">
        <v>9</v>
      </c>
      <c r="Q6">
        <f>Q5^2</f>
        <v>1.1745973190068878E-3</v>
      </c>
      <c r="R6">
        <f t="shared" ref="R6:T6" si="7">R5^2</f>
        <v>4.1814694987642984E-4</v>
      </c>
      <c r="S6">
        <f t="shared" si="7"/>
        <v>4.1814694987642984E-4</v>
      </c>
      <c r="T6">
        <f t="shared" si="7"/>
        <v>4.3889097680666588E-5</v>
      </c>
    </row>
    <row r="7" spans="1:21" x14ac:dyDescent="0.45">
      <c r="B7" t="s">
        <v>10</v>
      </c>
      <c r="C7">
        <f>SQRT(SUM(C6:F6)/(3*4))</f>
        <v>8.6902488472620013E-3</v>
      </c>
      <c r="I7" t="s">
        <v>10</v>
      </c>
      <c r="J7">
        <f>SQRT(SUM(J6:M6)/(3*4))</f>
        <v>1.4548458623247754E-2</v>
      </c>
      <c r="P7" t="s">
        <v>10</v>
      </c>
      <c r="Q7">
        <f>SQRT(SUM(Q6:T6)/(3*4))</f>
        <v>1.3085552836494955E-2</v>
      </c>
    </row>
    <row r="8" spans="1:21" x14ac:dyDescent="0.45">
      <c r="B8" t="s">
        <v>11</v>
      </c>
      <c r="C8">
        <f>C7*3.182</f>
        <v>2.7652371831987689E-2</v>
      </c>
      <c r="I8" t="s">
        <v>11</v>
      </c>
      <c r="J8">
        <f>J7*3.182</f>
        <v>4.6293195339174351E-2</v>
      </c>
      <c r="P8" t="s">
        <v>11</v>
      </c>
      <c r="Q8">
        <f>Q7*3.182</f>
        <v>4.1638229125726949E-2</v>
      </c>
    </row>
    <row r="9" spans="1:21" x14ac:dyDescent="0.45">
      <c r="B9" t="s">
        <v>12</v>
      </c>
      <c r="C9">
        <f>C8/G4</f>
        <v>1.8535389598787543E-2</v>
      </c>
      <c r="I9" t="s">
        <v>12</v>
      </c>
      <c r="J9">
        <f>J8/N4</f>
        <v>5.1983794717729744E-2</v>
      </c>
      <c r="P9" t="s">
        <v>12</v>
      </c>
      <c r="Q9">
        <f>Q8/U4</f>
        <v>2.1358841953745294E-2</v>
      </c>
    </row>
    <row r="12" spans="1:21" x14ac:dyDescent="0.45">
      <c r="J12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Reni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Emīls M.</dc:creator>
  <cp:lastModifiedBy>Emīls M.</cp:lastModifiedBy>
  <dcterms:created xsi:type="dcterms:W3CDTF">2026-03-17T14:52:15Z</dcterms:created>
  <dcterms:modified xsi:type="dcterms:W3CDTF">2026-03-19T19:19:18Z</dcterms:modified>
</cp:coreProperties>
</file>